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8_BankingLoss" sheetId="1" state="visible" r:id="rId1"/>
    <sheet xmlns:r="http://schemas.openxmlformats.org/officeDocument/2006/relationships" name="Chart10_WheelingRecon" sheetId="2" state="visible" r:id="rId2"/>
    <sheet xmlns:r="http://schemas.openxmlformats.org/officeDocument/2006/relationships" name="Chart11_SurplusAbsorption" sheetId="3" state="visible" r:id="rId3"/>
    <sheet xmlns:r="http://schemas.openxmlformats.org/officeDocument/2006/relationships" name="Chart15_Heatmap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"/>
    <numFmt numFmtId="165" formatCode="0.0%"/>
    <numFmt numFmtId="166" formatCode="+#,##0;-#,##0;0"/>
  </numFmts>
  <fonts count="28">
    <font>
      <name val="Calibri"/>
      <family val="2"/>
      <color theme="1"/>
      <sz val="11"/>
      <scheme val="minor"/>
    </font>
    <font>
      <b val="1"/>
      <color rgb="001565C0"/>
      <sz val="12"/>
    </font>
    <font>
      <i val="1"/>
      <color rgb="00546E7A"/>
      <sz val="8.5"/>
    </font>
    <font>
      <b val="1"/>
      <color rgb="00FFFFFF"/>
      <sz val="9"/>
    </font>
    <font>
      <color rgb="00212121"/>
      <sz val="9"/>
    </font>
    <font>
      <color rgb="001565C0"/>
      <sz val="8"/>
    </font>
    <font>
      <b val="1"/>
      <color rgb="00212121"/>
      <sz val="9"/>
    </font>
    <font>
      <b val="1"/>
      <color rgb="001565C0"/>
      <sz val="8.5"/>
    </font>
    <font>
      <color rgb="0037474F"/>
      <sz val="8.5"/>
    </font>
    <font>
      <color rgb="00C62828"/>
      <sz val="8.5"/>
    </font>
    <font>
      <color rgb="001B5E20"/>
      <sz val="8.5"/>
    </font>
    <font>
      <b val="1"/>
      <color rgb="00C62828"/>
      <sz val="9"/>
    </font>
    <font>
      <sz val="9"/>
    </font>
    <font>
      <b val="1"/>
      <color rgb="001565C0"/>
      <sz val="9"/>
    </font>
    <font>
      <b val="1"/>
      <color rgb="0037474F"/>
      <sz val="9"/>
    </font>
    <font>
      <color rgb="001565C0"/>
      <sz val="8.5"/>
    </font>
    <font>
      <b val="1"/>
      <sz val="9"/>
    </font>
    <font>
      <b val="1"/>
      <color rgb="006A1B9A"/>
      <sz val="9"/>
    </font>
    <font>
      <color rgb="006A1B9A"/>
      <sz val="9"/>
    </font>
    <font>
      <color rgb="001B5E20"/>
      <sz val="9"/>
    </font>
    <font>
      <color rgb="00C62828"/>
      <sz val="9"/>
    </font>
    <font>
      <color rgb="0037474F"/>
      <sz val="9"/>
    </font>
    <font>
      <b val="1"/>
      <color rgb="00E65100"/>
      <sz val="9"/>
    </font>
    <font>
      <color rgb="00E65100"/>
      <sz val="9"/>
    </font>
    <font>
      <b val="1"/>
      <color rgb="001B5E20"/>
      <sz val="9"/>
    </font>
    <font>
      <b val="1"/>
      <color rgb="000288D1"/>
      <sz val="9"/>
    </font>
    <font>
      <color rgb="000288D1"/>
      <sz val="9"/>
    </font>
    <font>
      <b val="1"/>
      <color rgb="0037474F"/>
      <sz val="8.5"/>
    </font>
  </fonts>
  <fills count="19">
    <fill>
      <patternFill/>
    </fill>
    <fill>
      <patternFill patternType="gray125"/>
    </fill>
    <fill>
      <patternFill patternType="solid">
        <fgColor rgb="00E3F2FD"/>
      </patternFill>
    </fill>
    <fill>
      <patternFill patternType="solid">
        <fgColor rgb="001565C0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BBDEFB"/>
      </patternFill>
    </fill>
    <fill>
      <patternFill patternType="solid">
        <fgColor rgb="0000695C"/>
      </patternFill>
    </fill>
    <fill>
      <patternFill patternType="solid">
        <fgColor rgb="00B71C1C"/>
      </patternFill>
    </fill>
    <fill>
      <patternFill patternType="solid">
        <fgColor rgb="00F3E5F5"/>
      </patternFill>
    </fill>
    <fill>
      <patternFill patternType="solid">
        <fgColor rgb="00E8EAF6"/>
      </patternFill>
    </fill>
    <fill>
      <patternFill patternType="solid">
        <fgColor rgb="00E0F2F1"/>
      </patternFill>
    </fill>
    <fill>
      <patternFill patternType="solid">
        <fgColor rgb="00FFF3E0"/>
      </patternFill>
    </fill>
    <fill>
      <patternFill patternType="solid">
        <fgColor rgb="004A148C"/>
      </patternFill>
    </fill>
    <fill>
      <patternFill patternType="solid">
        <fgColor rgb="00FFCDD2"/>
      </patternFill>
    </fill>
    <fill>
      <patternFill patternType="solid">
        <fgColor rgb="00A5D6A7"/>
      </patternFill>
    </fill>
    <fill>
      <patternFill patternType="solid">
        <fgColor rgb="00C8E6C9"/>
      </patternFill>
    </fill>
    <fill>
      <patternFill patternType="solid">
        <fgColor rgb="00FFCCBC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/>
    </xf>
    <xf numFmtId="3" fontId="4" fillId="0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/>
    </xf>
    <xf numFmtId="3" fontId="4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right" vertical="center"/>
    </xf>
    <xf numFmtId="3" fontId="6" fillId="7" borderId="1" applyAlignment="1" pivotButton="0" quotePrefix="0" xfId="0">
      <alignment horizontal="right" vertical="center"/>
    </xf>
    <xf numFmtId="3" fontId="6" fillId="4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165" fontId="6" fillId="7" borderId="1" applyAlignment="1" pivotButton="0" quotePrefix="0" xfId="0">
      <alignment horizontal="right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3" fillId="8" borderId="1" applyAlignment="1" pivotButton="0" quotePrefix="0" xfId="0">
      <alignment horizontal="center" vertical="center" wrapText="1"/>
    </xf>
    <xf numFmtId="166" fontId="11" fillId="6" borderId="1" applyAlignment="1" pivotButton="0" quotePrefix="0" xfId="0">
      <alignment horizontal="right" vertical="center"/>
    </xf>
    <xf numFmtId="164" fontId="11" fillId="6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0" fontId="12" fillId="0" borderId="1" applyAlignment="1" pivotButton="0" quotePrefix="0" xfId="0">
      <alignment horizontal="right" vertical="center"/>
    </xf>
    <xf numFmtId="166" fontId="13" fillId="5" borderId="1" applyAlignment="1" pivotButton="0" quotePrefix="0" xfId="0">
      <alignment horizontal="right" vertical="center"/>
    </xf>
    <xf numFmtId="164" fontId="13" fillId="5" borderId="1" applyAlignment="1" pivotButton="0" quotePrefix="0" xfId="0">
      <alignment horizontal="right" vertical="center"/>
    </xf>
    <xf numFmtId="0" fontId="12" fillId="2" borderId="1" applyAlignment="1" pivotButton="0" quotePrefix="0" xfId="0">
      <alignment horizontal="right" vertical="center"/>
    </xf>
    <xf numFmtId="165" fontId="4" fillId="6" borderId="1" applyAlignment="1" pivotButton="0" quotePrefix="0" xfId="0">
      <alignment horizontal="right" vertical="center"/>
    </xf>
    <xf numFmtId="166" fontId="14" fillId="4" borderId="1" applyAlignment="1" pivotButton="0" quotePrefix="0" xfId="0">
      <alignment horizontal="right" vertical="center"/>
    </xf>
    <xf numFmtId="164" fontId="14" fillId="4" borderId="1" applyAlignment="1" pivotButton="0" quotePrefix="0" xfId="0">
      <alignment horizontal="right" vertical="center"/>
    </xf>
    <xf numFmtId="166" fontId="6" fillId="7" borderId="1" applyAlignment="1" pivotButton="0" quotePrefix="0" xfId="0">
      <alignment horizontal="right" vertical="center"/>
    </xf>
    <xf numFmtId="0" fontId="15" fillId="0" borderId="0" pivotButton="0" quotePrefix="0" xfId="0"/>
    <xf numFmtId="0" fontId="3" fillId="9" borderId="1" applyAlignment="1" pivotButton="0" quotePrefix="0" xfId="0">
      <alignment horizontal="center" vertical="center" wrapText="1"/>
    </xf>
    <xf numFmtId="0" fontId="16" fillId="2" borderId="1" pivotButton="0" quotePrefix="0" xfId="0"/>
    <xf numFmtId="3" fontId="0" fillId="2" borderId="1" pivotButton="0" quotePrefix="0" xfId="0"/>
    <xf numFmtId="165" fontId="0" fillId="2" borderId="1" pivotButton="0" quotePrefix="0" xfId="0"/>
    <xf numFmtId="0" fontId="0" fillId="2" borderId="1" pivotButton="0" quotePrefix="0" xfId="0"/>
    <xf numFmtId="0" fontId="5" fillId="0" borderId="1" pivotButton="0" quotePrefix="0" xfId="0"/>
    <xf numFmtId="0" fontId="12" fillId="10" borderId="1" pivotButton="0" quotePrefix="0" xfId="0"/>
    <xf numFmtId="3" fontId="0" fillId="10" borderId="1" pivotButton="0" quotePrefix="0" xfId="0"/>
    <xf numFmtId="165" fontId="0" fillId="10" borderId="1" pivotButton="0" quotePrefix="0" xfId="0"/>
    <xf numFmtId="0" fontId="0" fillId="10" borderId="1" pivotButton="0" quotePrefix="0" xfId="0"/>
    <xf numFmtId="0" fontId="16" fillId="11" borderId="1" pivotButton="0" quotePrefix="0" xfId="0"/>
    <xf numFmtId="3" fontId="0" fillId="11" borderId="1" pivotButton="0" quotePrefix="0" xfId="0"/>
    <xf numFmtId="165" fontId="0" fillId="11" borderId="1" pivotButton="0" quotePrefix="0" xfId="0"/>
    <xf numFmtId="0" fontId="0" fillId="11" borderId="1" pivotButton="0" quotePrefix="0" xfId="0"/>
    <xf numFmtId="0" fontId="12" fillId="6" borderId="1" pivotButton="0" quotePrefix="0" xfId="0"/>
    <xf numFmtId="3" fontId="0" fillId="6" borderId="1" pivotButton="0" quotePrefix="0" xfId="0"/>
    <xf numFmtId="165" fontId="0" fillId="6" borderId="1" pivotButton="0" quotePrefix="0" xfId="0"/>
    <xf numFmtId="164" fontId="0" fillId="6" borderId="1" pivotButton="0" quotePrefix="0" xfId="0"/>
    <xf numFmtId="0" fontId="16" fillId="12" borderId="1" pivotButton="0" quotePrefix="0" xfId="0"/>
    <xf numFmtId="3" fontId="0" fillId="12" borderId="1" pivotButton="0" quotePrefix="0" xfId="0"/>
    <xf numFmtId="165" fontId="0" fillId="12" borderId="1" pivotButton="0" quotePrefix="0" xfId="0"/>
    <xf numFmtId="0" fontId="0" fillId="12" borderId="1" pivotButton="0" quotePrefix="0" xfId="0"/>
    <xf numFmtId="0" fontId="12" fillId="5" borderId="1" pivotButton="0" quotePrefix="0" xfId="0"/>
    <xf numFmtId="3" fontId="0" fillId="5" borderId="1" pivotButton="0" quotePrefix="0" xfId="0"/>
    <xf numFmtId="165" fontId="0" fillId="5" borderId="1" pivotButton="0" quotePrefix="0" xfId="0"/>
    <xf numFmtId="0" fontId="0" fillId="5" borderId="1" pivotButton="0" quotePrefix="0" xfId="0"/>
    <xf numFmtId="0" fontId="16" fillId="7" borderId="1" pivotButton="0" quotePrefix="0" xfId="0"/>
    <xf numFmtId="3" fontId="0" fillId="7" borderId="1" pivotButton="0" quotePrefix="0" xfId="0"/>
    <xf numFmtId="165" fontId="0" fillId="7" borderId="1" pivotButton="0" quotePrefix="0" xfId="0"/>
    <xf numFmtId="0" fontId="0" fillId="7" borderId="1" pivotButton="0" quotePrefix="0" xfId="0"/>
    <xf numFmtId="0" fontId="16" fillId="10" borderId="1" pivotButton="0" quotePrefix="0" xfId="0"/>
    <xf numFmtId="0" fontId="16" fillId="13" borderId="1" pivotButton="0" quotePrefix="0" xfId="0"/>
    <xf numFmtId="3" fontId="0" fillId="13" borderId="1" pivotButton="0" quotePrefix="0" xfId="0"/>
    <xf numFmtId="0" fontId="0" fillId="13" borderId="1" pivotButton="0" quotePrefix="0" xfId="0"/>
    <xf numFmtId="165" fontId="0" fillId="13" borderId="1" pivotButton="0" quotePrefix="0" xfId="0"/>
    <xf numFmtId="0" fontId="3" fillId="14" borderId="1" applyAlignment="1" pivotButton="0" quotePrefix="0" xfId="0">
      <alignment horizontal="center" vertical="center" wrapText="1"/>
    </xf>
    <xf numFmtId="0" fontId="17" fillId="0" borderId="1" pivotButton="0" quotePrefix="0" xfId="0"/>
    <xf numFmtId="0" fontId="18" fillId="0" borderId="1" pivotButton="0" quotePrefix="0" xfId="0"/>
    <xf numFmtId="166" fontId="11" fillId="15" borderId="1" pivotButton="0" quotePrefix="0" xfId="0"/>
    <xf numFmtId="0" fontId="12" fillId="0" borderId="1" pivotButton="0" quotePrefix="0" xfId="0"/>
    <xf numFmtId="0" fontId="19" fillId="0" borderId="1" pivotButton="0" quotePrefix="0" xfId="0"/>
    <xf numFmtId="0" fontId="20" fillId="0" borderId="1" pivotButton="0" quotePrefix="0" xfId="0"/>
    <xf numFmtId="166" fontId="21" fillId="15" borderId="1" pivotButton="0" quotePrefix="0" xfId="0"/>
    <xf numFmtId="0" fontId="22" fillId="0" borderId="1" pivotButton="0" quotePrefix="0" xfId="0"/>
    <xf numFmtId="0" fontId="23" fillId="0" borderId="1" pivotButton="0" quotePrefix="0" xfId="0"/>
    <xf numFmtId="166" fontId="21" fillId="16" borderId="1" pivotButton="0" quotePrefix="0" xfId="0"/>
    <xf numFmtId="166" fontId="21" fillId="17" borderId="1" pivotButton="0" quotePrefix="0" xfId="0"/>
    <xf numFmtId="166" fontId="24" fillId="16" borderId="1" pivotButton="0" quotePrefix="0" xfId="0"/>
    <xf numFmtId="0" fontId="25" fillId="0" borderId="1" pivotButton="0" quotePrefix="0" xfId="0"/>
    <xf numFmtId="0" fontId="26" fillId="0" borderId="1" pivotButton="0" quotePrefix="0" xfId="0"/>
    <xf numFmtId="166" fontId="21" fillId="18" borderId="1" pivotButton="0" quotePrefix="0" xfId="0"/>
    <xf numFmtId="0" fontId="11" fillId="0" borderId="1" pivotButton="0" quotePrefix="0" xfId="0"/>
    <xf numFmtId="0" fontId="2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4" customWidth="1" min="3" max="3"/>
    <col width="14" customWidth="1" min="4" max="4"/>
    <col width="14" customWidth="1" min="5" max="5"/>
    <col width="13" customWidth="1" min="6" max="6"/>
    <col width="11" customWidth="1" min="7" max="7"/>
    <col width="14" customWidth="1" min="8" max="8"/>
    <col width="13" customWidth="1" min="9" max="9"/>
    <col width="20" customWidth="1" min="10" max="10"/>
  </cols>
  <sheetData>
    <row r="1" ht="22" customHeight="1">
      <c r="A1" s="1" t="inlineStr">
        <is>
          <t>Chart 8 — Banking Loss &amp; Expiry Tracker</t>
        </is>
      </c>
    </row>
    <row r="2" ht="15" customHeight="1">
      <c r="A2" s="2" t="inlineStr">
        <is>
          <t>8% mandatory banking deduction on all surplus generation. Source: banking_account table. August 2025.</t>
        </is>
      </c>
    </row>
    <row r="3" ht="30" customHeight="1">
      <c r="A3" s="3" t="inlineStr">
        <is>
          <t>Unit</t>
        </is>
      </c>
      <c r="B3" s="3" t="inlineStr">
        <is>
          <t>Tariff (₹/kWh)</t>
        </is>
      </c>
      <c r="C3" s="3" t="inlineStr">
        <is>
          <t>Gross Banked
(kWh)</t>
        </is>
      </c>
      <c r="D3" s="3" t="inlineStr">
        <is>
          <t>Banking Loss
8% (kWh)</t>
        </is>
      </c>
      <c r="E3" s="3" t="inlineStr">
        <is>
          <t>Net Available
(kWh)</t>
        </is>
      </c>
      <c r="F3" s="3" t="inlineStr">
        <is>
          <t>Total Settled
(kWh)</t>
        </is>
      </c>
      <c r="G3" s="3" t="inlineStr">
        <is>
          <t>Expired
(kWh)</t>
        </is>
      </c>
      <c r="H3" s="3" t="inlineStr">
        <is>
          <t>Loss ₹
(at tariff rate)</t>
        </is>
      </c>
      <c r="I3" s="3" t="inlineStr">
        <is>
          <t>Settlement
Efficiency %</t>
        </is>
      </c>
      <c r="J3" s="3" t="inlineStr">
        <is>
          <t>Schema_v2 Source</t>
        </is>
      </c>
    </row>
    <row r="4">
      <c r="A4" s="4" t="inlineStr">
        <is>
          <t>Old Airport Road</t>
        </is>
      </c>
      <c r="B4" s="5" t="inlineStr">
        <is>
          <t>₹7.20</t>
        </is>
      </c>
      <c r="C4" s="6" t="n">
        <v>31300</v>
      </c>
      <c r="D4" s="7" t="n">
        <v>2504</v>
      </c>
      <c r="E4" s="6" t="n">
        <v>28796</v>
      </c>
      <c r="F4" s="6" t="n">
        <v>28796</v>
      </c>
      <c r="G4" s="8" t="n">
        <v>0</v>
      </c>
      <c r="H4" s="9" t="n">
        <v>18029</v>
      </c>
      <c r="I4" s="10" t="n">
        <v>1</v>
      </c>
      <c r="J4" s="11" t="inlineStr">
        <is>
          <t>banking_account</t>
        </is>
      </c>
    </row>
    <row r="5">
      <c r="A5" s="12" t="inlineStr">
        <is>
          <t>Whitefield</t>
        </is>
      </c>
      <c r="B5" s="13" t="inlineStr">
        <is>
          <t>₹5.95</t>
        </is>
      </c>
      <c r="C5" s="14" t="n">
        <v>40487</v>
      </c>
      <c r="D5" s="7" t="n">
        <v>3239</v>
      </c>
      <c r="E5" s="14" t="n">
        <v>37248</v>
      </c>
      <c r="F5" s="14" t="n">
        <v>37248</v>
      </c>
      <c r="G5" s="8" t="n">
        <v>0</v>
      </c>
      <c r="H5" s="9" t="n">
        <v>19272</v>
      </c>
      <c r="I5" s="10" t="n">
        <v>1</v>
      </c>
      <c r="J5" s="15" t="inlineStr">
        <is>
          <t>banking_account</t>
        </is>
      </c>
    </row>
    <row r="6">
      <c r="A6" s="4" t="inlineStr">
        <is>
          <t>Sahakar Nagar</t>
        </is>
      </c>
      <c r="B6" s="5" t="inlineStr">
        <is>
          <t>₹7.20</t>
        </is>
      </c>
      <c r="C6" s="6" t="n">
        <v>21793</v>
      </c>
      <c r="D6" s="7" t="n">
        <v>1743</v>
      </c>
      <c r="E6" s="6" t="n">
        <v>20050</v>
      </c>
      <c r="F6" s="6" t="n">
        <v>20050</v>
      </c>
      <c r="G6" s="8" t="n">
        <v>0</v>
      </c>
      <c r="H6" s="9" t="n">
        <v>12553</v>
      </c>
      <c r="I6" s="10" t="n">
        <v>1</v>
      </c>
      <c r="J6" s="11" t="inlineStr">
        <is>
          <t>banking_account</t>
        </is>
      </c>
    </row>
    <row r="7">
      <c r="A7" s="12" t="inlineStr">
        <is>
          <t>Electronic City</t>
        </is>
      </c>
      <c r="B7" s="13" t="inlineStr">
        <is>
          <t>₹5.95</t>
        </is>
      </c>
      <c r="C7" s="14" t="n">
        <v>31890</v>
      </c>
      <c r="D7" s="7" t="n">
        <v>2551</v>
      </c>
      <c r="E7" s="14" t="n">
        <v>29339</v>
      </c>
      <c r="F7" s="14" t="n">
        <v>29339</v>
      </c>
      <c r="G7" s="8" t="n">
        <v>0</v>
      </c>
      <c r="H7" s="9" t="n">
        <v>15180</v>
      </c>
      <c r="I7" s="10" t="n">
        <v>1</v>
      </c>
      <c r="J7" s="15" t="inlineStr">
        <is>
          <t>banking_account</t>
        </is>
      </c>
    </row>
    <row r="8">
      <c r="A8" s="4" t="inlineStr">
        <is>
          <t>Malleswaram</t>
        </is>
      </c>
      <c r="B8" s="5" t="inlineStr">
        <is>
          <t>₹7.20</t>
        </is>
      </c>
      <c r="C8" s="6" t="n">
        <v>17129</v>
      </c>
      <c r="D8" s="7" t="n">
        <v>1370</v>
      </c>
      <c r="E8" s="6" t="n">
        <v>15759</v>
      </c>
      <c r="F8" s="6" t="n">
        <v>15759</v>
      </c>
      <c r="G8" s="8" t="n">
        <v>0</v>
      </c>
      <c r="H8" s="9" t="n">
        <v>9867</v>
      </c>
      <c r="I8" s="10" t="n">
        <v>1</v>
      </c>
      <c r="J8" s="11" t="inlineStr">
        <is>
          <t>banking_account</t>
        </is>
      </c>
    </row>
    <row r="9">
      <c r="A9" s="12" t="inlineStr">
        <is>
          <t>HRBR Unit</t>
        </is>
      </c>
      <c r="B9" s="13" t="inlineStr">
        <is>
          <t>₹7.20</t>
        </is>
      </c>
      <c r="C9" s="14" t="n">
        <v>17412</v>
      </c>
      <c r="D9" s="7" t="n">
        <v>1393</v>
      </c>
      <c r="E9" s="14" t="n">
        <v>16019</v>
      </c>
      <c r="F9" s="14" t="n">
        <v>16019</v>
      </c>
      <c r="G9" s="8" t="n">
        <v>0</v>
      </c>
      <c r="H9" s="9" t="n">
        <v>10029</v>
      </c>
      <c r="I9" s="10" t="n">
        <v>1</v>
      </c>
      <c r="J9" s="15" t="inlineStr">
        <is>
          <t>banking_account</t>
        </is>
      </c>
    </row>
    <row r="10">
      <c r="A10" s="4" t="inlineStr">
        <is>
          <t>Thanisandra</t>
        </is>
      </c>
      <c r="B10" s="5" t="inlineStr">
        <is>
          <t>₹5.95</t>
        </is>
      </c>
      <c r="C10" s="6" t="n">
        <v>24493</v>
      </c>
      <c r="D10" s="7" t="n">
        <v>1959</v>
      </c>
      <c r="E10" s="6" t="n">
        <v>22534</v>
      </c>
      <c r="F10" s="6" t="n">
        <v>22534</v>
      </c>
      <c r="G10" s="8" t="n">
        <v>0</v>
      </c>
      <c r="H10" s="9" t="n">
        <v>11659</v>
      </c>
      <c r="I10" s="10" t="n">
        <v>1</v>
      </c>
      <c r="J10" s="11" t="inlineStr">
        <is>
          <t>banking_account</t>
        </is>
      </c>
    </row>
    <row r="11">
      <c r="A11" s="12" t="inlineStr">
        <is>
          <t>Bellandur</t>
        </is>
      </c>
      <c r="B11" s="13" t="inlineStr">
        <is>
          <t>₹5.95</t>
        </is>
      </c>
      <c r="C11" s="14" t="n">
        <v>22293</v>
      </c>
      <c r="D11" s="7" t="n">
        <v>1783</v>
      </c>
      <c r="E11" s="14" t="n">
        <v>20510</v>
      </c>
      <c r="F11" s="14" t="n">
        <v>20510</v>
      </c>
      <c r="G11" s="8" t="n">
        <v>0</v>
      </c>
      <c r="H11" s="9" t="n">
        <v>10612</v>
      </c>
      <c r="I11" s="10" t="n">
        <v>1</v>
      </c>
      <c r="J11" s="15" t="inlineStr">
        <is>
          <t>banking_account</t>
        </is>
      </c>
    </row>
    <row r="12">
      <c r="A12" s="4" t="inlineStr">
        <is>
          <t>Kanakapura</t>
        </is>
      </c>
      <c r="B12" s="5" t="inlineStr">
        <is>
          <t>₹5.95</t>
        </is>
      </c>
      <c r="C12" s="6" t="n">
        <v>20913</v>
      </c>
      <c r="D12" s="7" t="n">
        <v>1673</v>
      </c>
      <c r="E12" s="6" t="n">
        <v>19240</v>
      </c>
      <c r="F12" s="6" t="n">
        <v>19240</v>
      </c>
      <c r="G12" s="8" t="n">
        <v>0</v>
      </c>
      <c r="H12" s="9" t="n">
        <v>9955</v>
      </c>
      <c r="I12" s="10" t="n">
        <v>1</v>
      </c>
      <c r="J12" s="11" t="inlineStr">
        <is>
          <t>banking_account</t>
        </is>
      </c>
    </row>
    <row r="13">
      <c r="A13" s="12" t="inlineStr">
        <is>
          <t>Sarjapura</t>
        </is>
      </c>
      <c r="B13" s="13" t="inlineStr">
        <is>
          <t>₹5.95</t>
        </is>
      </c>
      <c r="C13" s="14" t="n">
        <v>20853</v>
      </c>
      <c r="D13" s="7" t="n">
        <v>1668</v>
      </c>
      <c r="E13" s="14" t="n">
        <v>19185</v>
      </c>
      <c r="F13" s="14" t="n">
        <v>19185</v>
      </c>
      <c r="G13" s="8" t="n">
        <v>0</v>
      </c>
      <c r="H13" s="9" t="n">
        <v>9926</v>
      </c>
      <c r="I13" s="10" t="n">
        <v>1</v>
      </c>
      <c r="J13" s="15" t="inlineStr">
        <is>
          <t>banking_account</t>
        </is>
      </c>
    </row>
    <row r="14">
      <c r="A14" s="4" t="inlineStr">
        <is>
          <t>Bellandur Corp.</t>
        </is>
      </c>
      <c r="B14" s="5" t="inlineStr">
        <is>
          <t>₹5.95</t>
        </is>
      </c>
      <c r="C14" s="6" t="n">
        <v>10465</v>
      </c>
      <c r="D14" s="7" t="n">
        <v>837</v>
      </c>
      <c r="E14" s="6" t="n">
        <v>9628</v>
      </c>
      <c r="F14" s="6" t="n">
        <v>9628</v>
      </c>
      <c r="G14" s="8" t="n">
        <v>0</v>
      </c>
      <c r="H14" s="9" t="n">
        <v>4981</v>
      </c>
      <c r="I14" s="10" t="n">
        <v>1</v>
      </c>
      <c r="J14" s="11" t="inlineStr">
        <is>
          <t>banking_account</t>
        </is>
      </c>
    </row>
    <row r="15">
      <c r="A15" s="16" t="inlineStr">
        <is>
          <t>TOTAL</t>
        </is>
      </c>
      <c r="B15" s="17" t="n"/>
      <c r="C15" s="18" t="n">
        <v>259028</v>
      </c>
      <c r="D15" s="19" t="n">
        <v>20720</v>
      </c>
      <c r="E15" s="18" t="n">
        <v>238308</v>
      </c>
      <c r="F15" s="18" t="n">
        <v>238308</v>
      </c>
      <c r="G15" s="18" t="n">
        <v>0</v>
      </c>
      <c r="H15" s="20" t="n">
        <v>132063</v>
      </c>
      <c r="I15" s="21" t="n">
        <v>1</v>
      </c>
      <c r="J15" s="17" t="n"/>
    </row>
    <row r="17">
      <c r="A17" s="22" t="inlineStr">
        <is>
          <t>📐 Formulas (banking_account generated columns):</t>
        </is>
      </c>
    </row>
    <row r="18">
      <c r="A18" s="23" t="inlineStr">
        <is>
          <t>banking_loss_kwh = gross_banked_kwh × (loss_pct / 100)  →  gross × 0.08</t>
        </is>
      </c>
    </row>
    <row r="19">
      <c r="A19" s="23" t="inlineStr">
        <is>
          <t>net_available_kwh = gross_banked_kwh × (1 - loss_pct / 100)  →  gross × 0.92</t>
        </is>
      </c>
    </row>
    <row r="20">
      <c r="A20" s="23" t="inlineStr">
        <is>
          <t>total_settled_kwh = intra_settled_kwh + inter_settled_kwh</t>
        </is>
      </c>
    </row>
    <row r="21">
      <c r="A21" s="23" t="inlineStr">
        <is>
          <t>expired_kwh = GREATEST(net_available_kwh - total_settled_kwh, 0)</t>
        </is>
      </c>
    </row>
    <row r="22">
      <c r="A22" s="23" t="inlineStr">
        <is>
          <t>loss_inr = banking_loss_kwh × tariff_rate (from tariff_configs join)</t>
        </is>
      </c>
    </row>
    <row r="23">
      <c r="A23" s="23" t="inlineStr">
        <is>
          <t>settlement_efficiency = total_settled / net_available × 100%</t>
        </is>
      </c>
    </row>
    <row r="24">
      <c r="A24" s="24" t="inlineStr">
        <is>
          <t>⚠️  Loss timing: the 8% deduction occurs at drawdown (settlement), not at generation time.</t>
        </is>
      </c>
    </row>
    <row r="25">
      <c r="A25" s="25" t="inlineStr">
        <is>
          <t>✅  August 2025: all net available kWh fully settled — zero expiry across all 11 units.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4" customWidth="1" min="3" max="3"/>
    <col width="15" customWidth="1" min="4" max="4"/>
    <col width="12" customWidth="1" min="5" max="5"/>
    <col width="14" customWidth="1" min="6" max="6"/>
    <col width="11" customWidth="1" min="7" max="7"/>
    <col width="22" customWidth="1" min="8" max="8"/>
    <col width="28" customWidth="1" min="9" max="9"/>
  </cols>
  <sheetData>
    <row r="1" ht="22" customHeight="1">
      <c r="A1" s="1" t="inlineStr">
        <is>
          <t>Chart 10 — Wheeling Certificate Reconciliation</t>
        </is>
      </c>
    </row>
    <row r="2" ht="15" customHeight="1">
      <c r="A2" s="2" t="inlineStr">
        <is>
          <t>Proposed = tariff-priority model. Actual = BESCOM-certified kWh from DISCOM Bill CSV. Gap = Proposed − Actual. August 2025.</t>
        </is>
      </c>
    </row>
    <row r="3" ht="30" customHeight="1">
      <c r="A3" s="26" t="inlineStr">
        <is>
          <t>Unit</t>
        </is>
      </c>
      <c r="B3" s="26" t="inlineStr">
        <is>
          <t>Tariff (₹/kWh)</t>
        </is>
      </c>
      <c r="C3" s="26" t="inlineStr">
        <is>
          <t>Proposed
(kWh)</t>
        </is>
      </c>
      <c r="D3" s="26" t="inlineStr">
        <is>
          <t>Actual BESCOM
(kWh)</t>
        </is>
      </c>
      <c r="E3" s="26" t="inlineStr">
        <is>
          <t>Gap
(kWh)</t>
        </is>
      </c>
      <c r="F3" s="26" t="inlineStr">
        <is>
          <t>Gap ₹
(at tariff)</t>
        </is>
      </c>
      <c r="G3" s="26" t="inlineStr">
        <is>
          <t>Gap %
of Proposed</t>
        </is>
      </c>
      <c r="H3" s="26" t="inlineStr">
        <is>
          <t>Status</t>
        </is>
      </c>
      <c r="I3" s="26" t="inlineStr">
        <is>
          <t>Data Source
(Actual)</t>
        </is>
      </c>
    </row>
    <row r="4">
      <c r="A4" s="4" t="inlineStr">
        <is>
          <t>Malleswaram</t>
        </is>
      </c>
      <c r="B4" s="5" t="inlineStr">
        <is>
          <t>₹7.20</t>
        </is>
      </c>
      <c r="C4" s="6" t="n">
        <v>42495</v>
      </c>
      <c r="D4" s="6" t="n">
        <v>40990</v>
      </c>
      <c r="E4" s="27" t="n">
        <v>1505</v>
      </c>
      <c r="F4" s="28" t="n">
        <v>10836</v>
      </c>
      <c r="G4" s="29" t="n">
        <v>0.03541593128603365</v>
      </c>
      <c r="H4" s="30" t="inlineStr">
        <is>
          <t>✅ OK</t>
        </is>
      </c>
      <c r="I4" s="11" t="inlineStr">
        <is>
          <t>DISCOM Bill – All Units.csv
Bill Header: Wheeling Energy</t>
        </is>
      </c>
    </row>
    <row r="5">
      <c r="A5" s="12" t="inlineStr">
        <is>
          <t>Sahakar Nagar</t>
        </is>
      </c>
      <c r="B5" s="13" t="inlineStr">
        <is>
          <t>₹7.20</t>
        </is>
      </c>
      <c r="C5" s="14" t="n">
        <v>50944</v>
      </c>
      <c r="D5" s="14" t="n">
        <v>52786</v>
      </c>
      <c r="E5" s="31" t="n">
        <v>-1842</v>
      </c>
      <c r="F5" s="32" t="n">
        <v>-13262</v>
      </c>
      <c r="G5" s="29" t="n">
        <v>0.03615734924623116</v>
      </c>
      <c r="H5" s="33" t="inlineStr">
        <is>
          <t>✅ OK</t>
        </is>
      </c>
      <c r="I5" s="15" t="inlineStr">
        <is>
          <t>DISCOM Bill – All Units.csv
Bill Header: Wheeling Energy</t>
        </is>
      </c>
    </row>
    <row r="6">
      <c r="A6" s="4" t="inlineStr">
        <is>
          <t>Thanisandra</t>
        </is>
      </c>
      <c r="B6" s="5" t="inlineStr">
        <is>
          <t>₹5.95</t>
        </is>
      </c>
      <c r="C6" s="6" t="n">
        <v>45175</v>
      </c>
      <c r="D6" s="6" t="n">
        <v>46193</v>
      </c>
      <c r="E6" s="31" t="n">
        <v>-1018</v>
      </c>
      <c r="F6" s="32" t="n">
        <v>-6057</v>
      </c>
      <c r="G6" s="29" t="n">
        <v>0.02253458771444383</v>
      </c>
      <c r="H6" s="30" t="inlineStr">
        <is>
          <t>✅ OK</t>
        </is>
      </c>
      <c r="I6" s="11" t="inlineStr">
        <is>
          <t>DISCOM Bill – All Units.csv
Bill Header: Wheeling Energy</t>
        </is>
      </c>
    </row>
    <row r="7">
      <c r="A7" s="12" t="inlineStr">
        <is>
          <t>Whitefield</t>
        </is>
      </c>
      <c r="B7" s="13" t="inlineStr">
        <is>
          <t>₹5.95</t>
        </is>
      </c>
      <c r="C7" s="14" t="n">
        <v>74674</v>
      </c>
      <c r="D7" s="14" t="n">
        <v>81230</v>
      </c>
      <c r="E7" s="31" t="n">
        <v>-6556</v>
      </c>
      <c r="F7" s="32" t="n">
        <v>-39008</v>
      </c>
      <c r="G7" s="34" t="n">
        <v>0.08779494871039452</v>
      </c>
      <c r="H7" s="33" t="inlineStr">
        <is>
          <t>🔵 UNDER &gt;5%</t>
        </is>
      </c>
      <c r="I7" s="15" t="inlineStr">
        <is>
          <t>DISCOM Bill – All Units.csv
Bill Header: Wheeling Energy</t>
        </is>
      </c>
    </row>
    <row r="8">
      <c r="A8" s="4" t="inlineStr">
        <is>
          <t>Old Airport Road</t>
        </is>
      </c>
      <c r="B8" s="5" t="inlineStr">
        <is>
          <t>₹7.20</t>
        </is>
      </c>
      <c r="C8" s="6" t="n">
        <v>66808</v>
      </c>
      <c r="D8" s="6" t="n">
        <v>70158</v>
      </c>
      <c r="E8" s="31" t="n">
        <v>-3350</v>
      </c>
      <c r="F8" s="32" t="n">
        <v>-24120</v>
      </c>
      <c r="G8" s="34" t="n">
        <v>0.05014369536582444</v>
      </c>
      <c r="H8" s="30" t="inlineStr">
        <is>
          <t>🔵 UNDER &gt;5%</t>
        </is>
      </c>
      <c r="I8" s="11" t="inlineStr">
        <is>
          <t>DISCOM Bill – All Units.csv
Bill Header: Wheeling Energy</t>
        </is>
      </c>
    </row>
    <row r="9">
      <c r="A9" s="12" t="inlineStr">
        <is>
          <t>HRBR Unit</t>
        </is>
      </c>
      <c r="B9" s="13" t="inlineStr">
        <is>
          <t>₹7.20</t>
        </is>
      </c>
      <c r="C9" s="14" t="n">
        <v>39054</v>
      </c>
      <c r="D9" s="14" t="n">
        <v>38925</v>
      </c>
      <c r="E9" s="35" t="n">
        <v>129</v>
      </c>
      <c r="F9" s="36" t="n">
        <v>929</v>
      </c>
      <c r="G9" s="10" t="n">
        <v>0.003303118758641881</v>
      </c>
      <c r="H9" s="33" t="inlineStr">
        <is>
          <t>✅ OK</t>
        </is>
      </c>
      <c r="I9" s="15" t="inlineStr">
        <is>
          <t>DISCOM Bill – All Units.csv
Bill Header: Wheeling Energy</t>
        </is>
      </c>
    </row>
    <row r="10">
      <c r="A10" s="4" t="inlineStr">
        <is>
          <t>Bellandur Corp.</t>
        </is>
      </c>
      <c r="B10" s="5" t="inlineStr">
        <is>
          <t>₹5.95</t>
        </is>
      </c>
      <c r="C10" s="6" t="n">
        <v>19302</v>
      </c>
      <c r="D10" s="6" t="n">
        <v>0</v>
      </c>
      <c r="E10" s="27" t="n">
        <v>19302</v>
      </c>
      <c r="F10" s="28" t="n">
        <v>114847</v>
      </c>
      <c r="G10" s="34" t="n">
        <v>1</v>
      </c>
      <c r="H10" s="30" t="inlineStr">
        <is>
          <t>🔴 FLAG (BESCOM=0)</t>
        </is>
      </c>
      <c r="I10" s="11" t="inlineStr">
        <is>
          <t>DISCOM Bill – All Units.csv
Bill Header: Wheeling Energy</t>
        </is>
      </c>
    </row>
    <row r="11">
      <c r="A11" s="12" t="inlineStr">
        <is>
          <t>Bellandur</t>
        </is>
      </c>
      <c r="B11" s="13" t="inlineStr">
        <is>
          <t>₹5.95</t>
        </is>
      </c>
      <c r="C11" s="14" t="n">
        <v>41118</v>
      </c>
      <c r="D11" s="14" t="n">
        <v>41383</v>
      </c>
      <c r="E11" s="35" t="n">
        <v>-265</v>
      </c>
      <c r="F11" s="36" t="n">
        <v>-1577</v>
      </c>
      <c r="G11" s="10" t="n">
        <v>0.006444865995427793</v>
      </c>
      <c r="H11" s="33" t="inlineStr">
        <is>
          <t>✅ OK</t>
        </is>
      </c>
      <c r="I11" s="15" t="inlineStr">
        <is>
          <t>DISCOM Bill – All Units.csv
Bill Header: Wheeling Energy</t>
        </is>
      </c>
    </row>
    <row r="12">
      <c r="A12" s="4" t="inlineStr">
        <is>
          <t>Sarjapura</t>
        </is>
      </c>
      <c r="B12" s="5" t="inlineStr">
        <is>
          <t>₹5.95</t>
        </is>
      </c>
      <c r="C12" s="6" t="n">
        <v>38462</v>
      </c>
      <c r="D12" s="6" t="n">
        <v>38233</v>
      </c>
      <c r="E12" s="35" t="n">
        <v>229</v>
      </c>
      <c r="F12" s="36" t="n">
        <v>1363</v>
      </c>
      <c r="G12" s="10" t="n">
        <v>0.005953928552857366</v>
      </c>
      <c r="H12" s="30" t="inlineStr">
        <is>
          <t>✅ OK</t>
        </is>
      </c>
      <c r="I12" s="11" t="inlineStr">
        <is>
          <t>DISCOM Bill – All Units.csv
Bill Header: Wheeling Energy</t>
        </is>
      </c>
    </row>
    <row r="13">
      <c r="A13" s="12" t="inlineStr">
        <is>
          <t>Kanakapura</t>
        </is>
      </c>
      <c r="B13" s="13" t="inlineStr">
        <is>
          <t>₹5.95</t>
        </is>
      </c>
      <c r="C13" s="14" t="n">
        <v>38572</v>
      </c>
      <c r="D13" s="14" t="n">
        <v>38480</v>
      </c>
      <c r="E13" s="35" t="n">
        <v>92</v>
      </c>
      <c r="F13" s="36" t="n">
        <v>547</v>
      </c>
      <c r="G13" s="10" t="n">
        <v>0.002385149849631857</v>
      </c>
      <c r="H13" s="33" t="inlineStr">
        <is>
          <t>✅ OK</t>
        </is>
      </c>
      <c r="I13" s="15" t="inlineStr">
        <is>
          <t>DISCOM Bill – All Units.csv
Bill Header: Wheeling Energy</t>
        </is>
      </c>
    </row>
    <row r="14">
      <c r="A14" s="4" t="inlineStr">
        <is>
          <t>Electronic City</t>
        </is>
      </c>
      <c r="B14" s="5" t="inlineStr">
        <is>
          <t>₹5.95</t>
        </is>
      </c>
      <c r="C14" s="6" t="n">
        <v>58819</v>
      </c>
      <c r="D14" s="6" t="n">
        <v>62322</v>
      </c>
      <c r="E14" s="31" t="n">
        <v>-3503</v>
      </c>
      <c r="F14" s="32" t="n">
        <v>-20843</v>
      </c>
      <c r="G14" s="34" t="n">
        <v>0.05955558578010507</v>
      </c>
      <c r="H14" s="30" t="inlineStr">
        <is>
          <t>🔵 UNDER &gt;5%</t>
        </is>
      </c>
      <c r="I14" s="11" t="inlineStr">
        <is>
          <t>DISCOM Bill – All Units.csv
Bill Header: Wheeling Energy</t>
        </is>
      </c>
    </row>
    <row r="15">
      <c r="A15" s="16" t="inlineStr">
        <is>
          <t>TOTAL</t>
        </is>
      </c>
      <c r="B15" s="17" t="n"/>
      <c r="C15" s="18" t="n">
        <v>515423</v>
      </c>
      <c r="D15" s="18" t="n">
        <v>510700</v>
      </c>
      <c r="E15" s="37" t="n">
        <v>4723</v>
      </c>
      <c r="F15" s="20" t="n">
        <v>23655</v>
      </c>
      <c r="G15" s="21" t="n">
        <v>0.009163347386515542</v>
      </c>
      <c r="H15" s="17" t="n"/>
      <c r="I15" s="17" t="n"/>
    </row>
    <row r="17">
      <c r="A17" s="22" t="inlineStr">
        <is>
          <t>📐 Column definitions:</t>
        </is>
      </c>
    </row>
    <row r="18">
      <c r="A18" s="23" t="inlineStr">
        <is>
          <t>proposed_wheeling_kwh = allocation_reconciliation.proposed_wheeling_kwh (from tariff-priority model output)</t>
        </is>
      </c>
    </row>
    <row r="19">
      <c r="A19" s="23" t="inlineStr">
        <is>
          <t>actual_wheeling_kwh   = allocation_reconciliation.actual_wheeling_kwh  (uploaded from BESCOM certificate monthly)</t>
        </is>
      </c>
    </row>
    <row r="20">
      <c r="A20" s="23" t="inlineStr">
        <is>
          <t>gap_kwh (generated)   = proposed_wheeling_kwh - actual_wheeling_kwh</t>
        </is>
      </c>
    </row>
    <row r="21">
      <c r="A21" s="23" t="inlineStr">
        <is>
          <t>gap_inr               = gap_kwh × tariff_configs.rate_per_kwh</t>
        </is>
      </c>
    </row>
    <row r="22">
      <c r="A22" s="24" t="inlineStr">
        <is>
          <t>🔴 Bellandur Corp.: BESCOM certified 0 kWh — likely HT connection category mismatch. ₹1,14,847 overstatement.</t>
        </is>
      </c>
    </row>
    <row r="23">
      <c r="A23" s="38" t="inlineStr">
        <is>
          <t>🔵 Whitefield:  BESCOM certified 6,556 kWh MORE than model → model underestimated this unit by ₹39,008.</t>
        </is>
      </c>
    </row>
    <row r="24">
      <c r="A24" s="25" t="inlineStr">
        <is>
          <t>✅ Net portfolio gap: +4,723 kWh = ₹23,655 net overstatement across all 11 units.</t>
        </is>
      </c>
    </row>
    <row r="25">
      <c r="A25" s="23" t="inlineStr">
        <is>
          <t>➡️  Workflow: after each billing cycle, finance team uploads actual_wheeling_kwh column from BESCOM certificate.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5" customWidth="1" min="4" max="4"/>
    <col width="13" customWidth="1" min="5" max="5"/>
    <col width="38" customWidth="1" min="6" max="6"/>
  </cols>
  <sheetData>
    <row r="1" ht="22" customHeight="1">
      <c r="A1" s="1" t="inlineStr">
        <is>
          <t>Chart 11 — Surplus Generation Absorption Analysis</t>
        </is>
      </c>
    </row>
    <row r="2" ht="15" customHeight="1">
      <c r="A2" s="2" t="inlineStr">
        <is>
          <t>Full flow: generation → direct match → surplus → banking loss → net banked → expiry + consumption coverage. August 2025.</t>
        </is>
      </c>
    </row>
    <row r="3" ht="20" customHeight="1">
      <c r="A3" s="39" t="inlineStr">
        <is>
          <t>Flow Step</t>
        </is>
      </c>
      <c r="B3" s="39" t="inlineStr">
        <is>
          <t>kWh</t>
        </is>
      </c>
      <c r="C3" s="39" t="inlineStr">
        <is>
          <t>% of Generation</t>
        </is>
      </c>
      <c r="D3" s="39" t="inlineStr">
        <is>
          <t>% of Consumption</t>
        </is>
      </c>
      <c r="E3" s="39" t="inlineStr">
        <is>
          <t>₹ Value</t>
        </is>
      </c>
      <c r="F3" s="39" t="inlineStr">
        <is>
          <t>Schema_v2 Source</t>
        </is>
      </c>
    </row>
    <row r="4" ht="18" customHeight="1">
      <c r="A4" s="40" t="inlineStr">
        <is>
          <t>Total Solar Generation</t>
        </is>
      </c>
      <c r="B4" s="41" t="n">
        <v>536147</v>
      </c>
      <c r="C4" s="42" t="n">
        <v>1</v>
      </c>
      <c r="D4" s="42" t="n">
        <v>0.887</v>
      </c>
      <c r="E4" s="43" t="n"/>
      <c r="F4" s="44" t="inlineStr">
        <is>
          <t>generation_readings SUM</t>
        </is>
      </c>
    </row>
    <row r="5" ht="18" customHeight="1">
      <c r="A5" s="45" t="inlineStr">
        <is>
          <t>— Direct Matched Settlement</t>
        </is>
      </c>
      <c r="B5" s="46" t="n">
        <v>277115</v>
      </c>
      <c r="C5" s="47" t="n">
        <v>0.517</v>
      </c>
      <c r="D5" s="47" t="n">
        <v>0.459</v>
      </c>
      <c r="E5" s="48" t="n"/>
      <c r="F5" s="44" t="inlineStr">
        <is>
          <t>monthly_banking_settlement_data_v2.matched_settlement</t>
        </is>
      </c>
    </row>
    <row r="6" ht="18" customHeight="1">
      <c r="A6" s="49">
        <f> Surplus to Banking Pool</f>
        <v/>
      </c>
      <c r="B6" s="50" t="n">
        <v>259032</v>
      </c>
      <c r="C6" s="51" t="n">
        <v>0.483</v>
      </c>
      <c r="D6" s="51" t="n">
        <v>0.429</v>
      </c>
      <c r="E6" s="52" t="n"/>
      <c r="F6" s="44" t="inlineStr">
        <is>
          <t>gen − matched</t>
        </is>
      </c>
    </row>
    <row r="7" ht="18" customHeight="1">
      <c r="A7" s="53" t="inlineStr">
        <is>
          <t xml:space="preserve">  Banking Loss (8% deduction)</t>
        </is>
      </c>
      <c r="B7" s="54" t="n">
        <v>20722</v>
      </c>
      <c r="C7" s="55" t="n">
        <v>0.039</v>
      </c>
      <c r="D7" s="55" t="n">
        <v>0.034</v>
      </c>
      <c r="E7" s="56" t="n">
        <v>133817</v>
      </c>
      <c r="F7" s="44" t="inlineStr">
        <is>
          <t>banking_account.banking_loss_kwh</t>
        </is>
      </c>
    </row>
    <row r="8" ht="18" customHeight="1">
      <c r="A8" s="57">
        <f> Net Available After Loss</f>
        <v/>
      </c>
      <c r="B8" s="58" t="n">
        <v>238309</v>
      </c>
      <c r="C8" s="59" t="n">
        <v>0.445</v>
      </c>
      <c r="D8" s="59" t="n">
        <v>0.394</v>
      </c>
      <c r="E8" s="60" t="n"/>
      <c r="F8" s="44" t="inlineStr">
        <is>
          <t>banking_account.net_available_kwh</t>
        </is>
      </c>
    </row>
    <row r="9" ht="18" customHeight="1">
      <c r="A9" s="61" t="inlineStr">
        <is>
          <t xml:space="preserve">  Banking Settled</t>
        </is>
      </c>
      <c r="B9" s="62" t="n">
        <v>238308</v>
      </c>
      <c r="C9" s="63" t="n">
        <v>0.444</v>
      </c>
      <c r="D9" s="63" t="n">
        <v>0.394</v>
      </c>
      <c r="E9" s="64" t="n"/>
      <c r="F9" s="44" t="inlineStr">
        <is>
          <t>banking_account.total_settled_kwh</t>
        </is>
      </c>
    </row>
    <row r="10" ht="18" customHeight="1">
      <c r="A10" s="53" t="inlineStr">
        <is>
          <t xml:space="preserve">  Expired (Unused Banking)</t>
        </is>
      </c>
      <c r="B10" s="54" t="n">
        <v>0</v>
      </c>
      <c r="C10" s="55" t="n">
        <v>0</v>
      </c>
      <c r="D10" s="55" t="n">
        <v>0</v>
      </c>
      <c r="E10" s="56" t="n">
        <v>0</v>
      </c>
      <c r="F10" s="44" t="inlineStr">
        <is>
          <t>GREATEST(net_available − settled, 0)</t>
        </is>
      </c>
    </row>
    <row r="11" ht="18" customHeight="1">
      <c r="A11" s="65" t="inlineStr">
        <is>
          <t>Total Settled (Match+Bank)</t>
        </is>
      </c>
      <c r="B11" s="66" t="n">
        <v>515423</v>
      </c>
      <c r="C11" s="67" t="n">
        <v>0.961</v>
      </c>
      <c r="D11" s="67" t="n">
        <v>0.853</v>
      </c>
      <c r="E11" s="68" t="n"/>
      <c r="F11" s="44" t="inlineStr">
        <is>
          <t>matched + settlement_with_banking</t>
        </is>
      </c>
    </row>
    <row r="12" ht="18" customHeight="1">
      <c r="A12" s="69" t="inlineStr">
        <is>
          <t>Total Consumption</t>
        </is>
      </c>
      <c r="B12" s="46" t="n">
        <v>604131</v>
      </c>
      <c r="C12" s="48" t="n"/>
      <c r="D12" s="47" t="n">
        <v>1</v>
      </c>
      <c r="E12" s="48" t="n"/>
      <c r="F12" s="44" t="inlineStr">
        <is>
          <t>consumption_readings SUM</t>
        </is>
      </c>
    </row>
    <row r="13" ht="18" customHeight="1">
      <c r="A13" s="70" t="inlineStr">
        <is>
          <t>Grid Drawl</t>
        </is>
      </c>
      <c r="B13" s="71" t="n">
        <v>88708</v>
      </c>
      <c r="C13" s="72" t="n"/>
      <c r="D13" s="73" t="n">
        <v>0.147</v>
      </c>
      <c r="E13" s="72" t="n"/>
      <c r="F13" s="44" t="inlineStr">
        <is>
          <t>consumption − total_settled</t>
        </is>
      </c>
    </row>
    <row r="15">
      <c r="A15" s="22" t="inlineStr">
        <is>
          <t>📐 Formulas:</t>
        </is>
      </c>
    </row>
    <row r="16">
      <c r="A16" s="23" t="inlineStr">
        <is>
          <t>Surplus to Banking  = Total Generation − Direct Matched</t>
        </is>
      </c>
    </row>
    <row r="17">
      <c r="A17" s="23" t="inlineStr">
        <is>
          <t>Banking Loss kWh    = Surplus × 0.08</t>
        </is>
      </c>
    </row>
    <row r="18">
      <c r="A18" s="23" t="inlineStr">
        <is>
          <t>Net Available       = Surplus × 0.92</t>
        </is>
      </c>
    </row>
    <row r="19">
      <c r="A19" s="23" t="inlineStr">
        <is>
          <t>Expired             = MAX(Net Available − Banking Settled, 0)</t>
        </is>
      </c>
    </row>
    <row r="20">
      <c r="A20" s="23" t="inlineStr">
        <is>
          <t>Grid Drawl          = Consumption − (Matched + Banking Settled)</t>
        </is>
      </c>
    </row>
    <row r="21">
      <c r="A21" s="23" t="inlineStr">
        <is>
          <t>Absorption Rate     = Total Settled / Total Generation × 100%</t>
        </is>
      </c>
    </row>
    <row r="22">
      <c r="A22" s="25" t="inlineStr">
        <is>
          <t>✅ Aug 2025: 96.1% absorption rate. Zero expiry. Plant well-sized for this month.</t>
        </is>
      </c>
    </row>
    <row r="23">
      <c r="A23" s="24" t="inlineStr">
        <is>
          <t>⚠️  Banking loss ₹1,33,817 is the mandatory cost of the banking mechanism — unavoidable.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7" customWidth="1" min="12" max="12"/>
    <col width="17" customWidth="1" min="13" max="13"/>
  </cols>
  <sheetData>
    <row r="1" ht="22" customHeight="1">
      <c r="A1" s="1" t="inlineStr">
        <is>
          <t>Chart 15 — Settlement Quality Heatmap Data (Hour × Day-of-Week)</t>
        </is>
      </c>
    </row>
    <row r="2" ht="15" customHeight="1">
      <c r="A2" s="2" t="inlineStr">
        <is>
          <t>avg(gen_kwh) and avg(cons_kwh) per hour per day-of-week. Net = gen − cons. Green = surplus, Red = deficit. August 2025.</t>
        </is>
      </c>
    </row>
    <row r="3" ht="28" customHeight="1">
      <c r="A3" s="74" t="inlineStr">
        <is>
          <t>Hour</t>
        </is>
      </c>
      <c r="B3" s="74" t="inlineStr">
        <is>
          <t>TOD Slot</t>
        </is>
      </c>
      <c r="C3" s="74" t="inlineStr">
        <is>
          <t>Net kWh
Mon</t>
        </is>
      </c>
      <c r="D3" s="74" t="inlineStr">
        <is>
          <t>Net kWh
Tue</t>
        </is>
      </c>
      <c r="E3" s="74" t="inlineStr">
        <is>
          <t>Net kWh
Wed</t>
        </is>
      </c>
      <c r="F3" s="74" t="inlineStr">
        <is>
          <t>Net kWh
Thu</t>
        </is>
      </c>
      <c r="G3" s="74" t="inlineStr">
        <is>
          <t>Net kWh
Fri</t>
        </is>
      </c>
      <c r="H3" s="74" t="inlineStr">
        <is>
          <t>Net kWh
Sat</t>
        </is>
      </c>
      <c r="I3" s="74" t="inlineStr">
        <is>
          <t>Net kWh
Sun</t>
        </is>
      </c>
      <c r="J3" s="74" t="inlineStr">
        <is>
          <t>Avg Gen kWh</t>
        </is>
      </c>
      <c r="K3" s="74" t="inlineStr">
        <is>
          <t>Avg Cons kWh</t>
        </is>
      </c>
      <c r="L3" s="74" t="inlineStr">
        <is>
          <t>Best Day</t>
        </is>
      </c>
      <c r="M3" s="74" t="inlineStr">
        <is>
          <t>Worst Day</t>
        </is>
      </c>
    </row>
    <row r="4">
      <c r="A4" s="75" t="inlineStr">
        <is>
          <t>00:00</t>
        </is>
      </c>
      <c r="B4" s="76" t="inlineStr">
        <is>
          <t>Night</t>
        </is>
      </c>
      <c r="C4" s="77" t="n">
        <v>-665</v>
      </c>
      <c r="D4" s="77" t="n">
        <v>-756</v>
      </c>
      <c r="E4" s="77" t="n">
        <v>-680</v>
      </c>
      <c r="F4" s="77" t="n">
        <v>-786</v>
      </c>
      <c r="G4" s="77" t="n">
        <v>-580</v>
      </c>
      <c r="H4" s="77" t="n">
        <v>-774</v>
      </c>
      <c r="I4" s="77" t="n">
        <v>-738</v>
      </c>
      <c r="J4" s="78" t="n">
        <v>0</v>
      </c>
      <c r="K4" s="78" t="n">
        <v>711.4</v>
      </c>
      <c r="L4" s="79" t="inlineStr">
        <is>
          <t>Fri (-580)</t>
        </is>
      </c>
      <c r="M4" s="80" t="inlineStr">
        <is>
          <t>Thu (-786)</t>
        </is>
      </c>
    </row>
    <row r="5">
      <c r="A5" s="75" t="inlineStr">
        <is>
          <t>01:00</t>
        </is>
      </c>
      <c r="B5" s="76" t="inlineStr">
        <is>
          <t>Night</t>
        </is>
      </c>
      <c r="C5" s="77" t="n">
        <v>-529</v>
      </c>
      <c r="D5" s="77" t="n">
        <v>-574</v>
      </c>
      <c r="E5" s="77" t="n">
        <v>-559</v>
      </c>
      <c r="F5" s="77" t="n">
        <v>-635</v>
      </c>
      <c r="G5" s="77" t="n">
        <v>-556</v>
      </c>
      <c r="H5" s="77" t="n">
        <v>-629</v>
      </c>
      <c r="I5" s="77" t="n">
        <v>-580</v>
      </c>
      <c r="J5" s="78" t="n">
        <v>0</v>
      </c>
      <c r="K5" s="78" t="n">
        <v>580.5</v>
      </c>
      <c r="L5" s="79" t="inlineStr">
        <is>
          <t>Mon (-529)</t>
        </is>
      </c>
      <c r="M5" s="80" t="inlineStr">
        <is>
          <t>Thu (-635)</t>
        </is>
      </c>
    </row>
    <row r="6">
      <c r="A6" s="75" t="inlineStr">
        <is>
          <t>02:00</t>
        </is>
      </c>
      <c r="B6" s="76" t="inlineStr">
        <is>
          <t>Night</t>
        </is>
      </c>
      <c r="C6" s="77" t="n">
        <v>-559</v>
      </c>
      <c r="D6" s="77" t="n">
        <v>-574</v>
      </c>
      <c r="E6" s="77" t="n">
        <v>-590</v>
      </c>
      <c r="F6" s="77" t="n">
        <v>-635</v>
      </c>
      <c r="G6" s="77" t="n">
        <v>-702</v>
      </c>
      <c r="H6" s="77" t="n">
        <v>-617</v>
      </c>
      <c r="I6" s="77" t="n">
        <v>-653</v>
      </c>
      <c r="J6" s="78" t="n">
        <v>0</v>
      </c>
      <c r="K6" s="78" t="n">
        <v>618.5</v>
      </c>
      <c r="L6" s="79" t="inlineStr">
        <is>
          <t>Mon (-559)</t>
        </is>
      </c>
      <c r="M6" s="80" t="inlineStr">
        <is>
          <t>Fri (-702)</t>
        </is>
      </c>
    </row>
    <row r="7">
      <c r="A7" s="75" t="inlineStr">
        <is>
          <t>03:00</t>
        </is>
      </c>
      <c r="B7" s="76" t="inlineStr">
        <is>
          <t>Night</t>
        </is>
      </c>
      <c r="C7" s="77" t="n">
        <v>-514</v>
      </c>
      <c r="D7" s="81" t="n">
        <v>-499</v>
      </c>
      <c r="E7" s="77" t="n">
        <v>-529</v>
      </c>
      <c r="F7" s="77" t="n">
        <v>-590</v>
      </c>
      <c r="G7" s="77" t="n">
        <v>-617</v>
      </c>
      <c r="H7" s="77" t="n">
        <v>-593</v>
      </c>
      <c r="I7" s="77" t="n">
        <v>-605</v>
      </c>
      <c r="J7" s="78" t="n">
        <v>0</v>
      </c>
      <c r="K7" s="78" t="n">
        <v>563.7</v>
      </c>
      <c r="L7" s="79" t="inlineStr">
        <is>
          <t>Tue (-499)</t>
        </is>
      </c>
      <c r="M7" s="80" t="inlineStr">
        <is>
          <t>Fri (-617)</t>
        </is>
      </c>
    </row>
    <row r="8">
      <c r="A8" s="75" t="inlineStr">
        <is>
          <t>04:00</t>
        </is>
      </c>
      <c r="B8" s="76" t="inlineStr">
        <is>
          <t>Night</t>
        </is>
      </c>
      <c r="C8" s="81" t="n">
        <v>-469</v>
      </c>
      <c r="D8" s="81" t="n">
        <v>-484</v>
      </c>
      <c r="E8" s="81" t="n">
        <v>-499</v>
      </c>
      <c r="F8" s="77" t="n">
        <v>-574</v>
      </c>
      <c r="G8" s="77" t="n">
        <v>-532</v>
      </c>
      <c r="H8" s="77" t="n">
        <v>-544</v>
      </c>
      <c r="I8" s="77" t="n">
        <v>-544</v>
      </c>
      <c r="J8" s="78" t="n">
        <v>0</v>
      </c>
      <c r="K8" s="78" t="n">
        <v>520.9</v>
      </c>
      <c r="L8" s="79" t="inlineStr">
        <is>
          <t>Mon (-469)</t>
        </is>
      </c>
      <c r="M8" s="80" t="inlineStr">
        <is>
          <t>Thu (-574)</t>
        </is>
      </c>
    </row>
    <row r="9">
      <c r="A9" s="75" t="inlineStr">
        <is>
          <t>05:00</t>
        </is>
      </c>
      <c r="B9" s="76" t="inlineStr">
        <is>
          <t>Night</t>
        </is>
      </c>
      <c r="C9" s="81" t="n">
        <v>-454</v>
      </c>
      <c r="D9" s="81" t="n">
        <v>-469</v>
      </c>
      <c r="E9" s="81" t="n">
        <v>-454</v>
      </c>
      <c r="F9" s="77" t="n">
        <v>-514</v>
      </c>
      <c r="G9" s="81" t="n">
        <v>-484</v>
      </c>
      <c r="H9" s="77" t="n">
        <v>-520</v>
      </c>
      <c r="I9" s="77" t="n">
        <v>-520</v>
      </c>
      <c r="J9" s="78" t="n">
        <v>0</v>
      </c>
      <c r="K9" s="78" t="n">
        <v>487.6</v>
      </c>
      <c r="L9" s="79" t="inlineStr">
        <is>
          <t>Mon (-454)</t>
        </is>
      </c>
      <c r="M9" s="80" t="inlineStr">
        <is>
          <t>Sat (-520)</t>
        </is>
      </c>
    </row>
    <row r="10">
      <c r="A10" s="82" t="inlineStr">
        <is>
          <t>06:00</t>
        </is>
      </c>
      <c r="B10" s="83" t="inlineStr">
        <is>
          <t>Morning Peak</t>
        </is>
      </c>
      <c r="C10" s="81" t="n">
        <v>-438</v>
      </c>
      <c r="D10" s="81" t="n">
        <v>-407</v>
      </c>
      <c r="E10" s="81" t="n">
        <v>-437</v>
      </c>
      <c r="F10" s="81" t="n">
        <v>-438</v>
      </c>
      <c r="G10" s="81" t="n">
        <v>-455</v>
      </c>
      <c r="H10" s="81" t="n">
        <v>-480</v>
      </c>
      <c r="I10" s="81" t="n">
        <v>-485</v>
      </c>
      <c r="J10" s="78" t="n">
        <v>32.1</v>
      </c>
      <c r="K10" s="78" t="n">
        <v>480.7</v>
      </c>
      <c r="L10" s="79" t="inlineStr">
        <is>
          <t>Tue (-407)</t>
        </is>
      </c>
      <c r="M10" s="80" t="inlineStr">
        <is>
          <t>Sun (-485)</t>
        </is>
      </c>
    </row>
    <row r="11">
      <c r="A11" s="82" t="inlineStr">
        <is>
          <t>07:00</t>
        </is>
      </c>
      <c r="B11" s="83" t="inlineStr">
        <is>
          <t>Morning Peak</t>
        </is>
      </c>
      <c r="C11" s="81" t="n">
        <v>-392</v>
      </c>
      <c r="D11" s="81" t="n">
        <v>-325</v>
      </c>
      <c r="E11" s="81" t="n">
        <v>-383</v>
      </c>
      <c r="F11" s="81" t="n">
        <v>-378</v>
      </c>
      <c r="G11" s="81" t="n">
        <v>-246</v>
      </c>
      <c r="H11" s="81" t="n">
        <v>-266</v>
      </c>
      <c r="I11" s="81" t="n">
        <v>-235</v>
      </c>
      <c r="J11" s="78" t="n">
        <v>412.1</v>
      </c>
      <c r="K11" s="78" t="n">
        <v>730</v>
      </c>
      <c r="L11" s="79" t="inlineStr">
        <is>
          <t>Sun (-235)</t>
        </is>
      </c>
      <c r="M11" s="80" t="inlineStr">
        <is>
          <t>Mon (-392)</t>
        </is>
      </c>
    </row>
    <row r="12">
      <c r="A12" s="82" t="inlineStr">
        <is>
          <t>08:00</t>
        </is>
      </c>
      <c r="B12" s="83" t="inlineStr">
        <is>
          <t>Morning Peak</t>
        </is>
      </c>
      <c r="C12" s="84" t="n">
        <v>382</v>
      </c>
      <c r="D12" s="84" t="n">
        <v>436</v>
      </c>
      <c r="E12" s="85" t="n">
        <v>16</v>
      </c>
      <c r="F12" s="84" t="n">
        <v>285</v>
      </c>
      <c r="G12" s="84" t="n">
        <v>244</v>
      </c>
      <c r="H12" s="84" t="n">
        <v>352</v>
      </c>
      <c r="I12" s="86" t="n">
        <v>545</v>
      </c>
      <c r="J12" s="78" t="n">
        <v>1045.3</v>
      </c>
      <c r="K12" s="78" t="n">
        <v>722.6</v>
      </c>
      <c r="L12" s="79" t="inlineStr">
        <is>
          <t>Sun (+545)</t>
        </is>
      </c>
      <c r="M12" s="80" t="inlineStr">
        <is>
          <t>Wed (+16)</t>
        </is>
      </c>
    </row>
    <row r="13">
      <c r="A13" s="87" t="inlineStr">
        <is>
          <t>09:00</t>
        </is>
      </c>
      <c r="B13" s="88" t="inlineStr">
        <is>
          <t>Day Normal</t>
        </is>
      </c>
      <c r="C13" s="86" t="n">
        <v>1152</v>
      </c>
      <c r="D13" s="86" t="n">
        <v>1265</v>
      </c>
      <c r="E13" s="84" t="n">
        <v>496</v>
      </c>
      <c r="F13" s="86" t="n">
        <v>825</v>
      </c>
      <c r="G13" s="86" t="n">
        <v>645</v>
      </c>
      <c r="H13" s="86" t="n">
        <v>910</v>
      </c>
      <c r="I13" s="86" t="n">
        <v>1095</v>
      </c>
      <c r="J13" s="78" t="n">
        <v>1735.8</v>
      </c>
      <c r="K13" s="78" t="n">
        <v>823.3</v>
      </c>
      <c r="L13" s="79" t="inlineStr">
        <is>
          <t>Tue (+1,265)</t>
        </is>
      </c>
      <c r="M13" s="80" t="inlineStr">
        <is>
          <t>Wed (+496)</t>
        </is>
      </c>
    </row>
    <row r="14">
      <c r="A14" s="87" t="inlineStr">
        <is>
          <t>10:00</t>
        </is>
      </c>
      <c r="B14" s="88" t="inlineStr">
        <is>
          <t>Day Normal</t>
        </is>
      </c>
      <c r="C14" s="86" t="n">
        <v>1390</v>
      </c>
      <c r="D14" s="86" t="n">
        <v>962</v>
      </c>
      <c r="E14" s="84" t="n">
        <v>364</v>
      </c>
      <c r="F14" s="86" t="n">
        <v>651</v>
      </c>
      <c r="G14" s="86" t="n">
        <v>814</v>
      </c>
      <c r="H14" s="86" t="n">
        <v>1426</v>
      </c>
      <c r="I14" s="86" t="n">
        <v>1724</v>
      </c>
      <c r="J14" s="78" t="n">
        <v>2007.4</v>
      </c>
      <c r="K14" s="78" t="n">
        <v>960.2</v>
      </c>
      <c r="L14" s="79" t="inlineStr">
        <is>
          <t>Sun (+1,724)</t>
        </is>
      </c>
      <c r="M14" s="80" t="inlineStr">
        <is>
          <t>Wed (+364)</t>
        </is>
      </c>
    </row>
    <row r="15">
      <c r="A15" s="87" t="inlineStr">
        <is>
          <t>11:00</t>
        </is>
      </c>
      <c r="B15" s="88" t="inlineStr">
        <is>
          <t>Day Normal</t>
        </is>
      </c>
      <c r="C15" s="86" t="n">
        <v>1260</v>
      </c>
      <c r="D15" s="86" t="n">
        <v>1045</v>
      </c>
      <c r="E15" s="84" t="n">
        <v>314</v>
      </c>
      <c r="F15" s="86" t="n">
        <v>1146</v>
      </c>
      <c r="G15" s="86" t="n">
        <v>1004</v>
      </c>
      <c r="H15" s="86" t="n">
        <v>1652</v>
      </c>
      <c r="I15" s="86" t="n">
        <v>1287</v>
      </c>
      <c r="J15" s="78" t="n">
        <v>2114.4</v>
      </c>
      <c r="K15" s="78" t="n">
        <v>1013.3</v>
      </c>
      <c r="L15" s="79" t="inlineStr">
        <is>
          <t>Sat (+1,652)</t>
        </is>
      </c>
      <c r="M15" s="80" t="inlineStr">
        <is>
          <t>Wed (+314)</t>
        </is>
      </c>
    </row>
    <row r="16">
      <c r="A16" s="87" t="inlineStr">
        <is>
          <t>12:00</t>
        </is>
      </c>
      <c r="B16" s="88" t="inlineStr">
        <is>
          <t>Day Normal</t>
        </is>
      </c>
      <c r="C16" s="86" t="n">
        <v>1412</v>
      </c>
      <c r="D16" s="86" t="n">
        <v>689</v>
      </c>
      <c r="E16" s="84" t="n">
        <v>333</v>
      </c>
      <c r="F16" s="86" t="n">
        <v>816</v>
      </c>
      <c r="G16" s="86" t="n">
        <v>1106</v>
      </c>
      <c r="H16" s="86" t="n">
        <v>1894</v>
      </c>
      <c r="I16" s="86" t="n">
        <v>1678</v>
      </c>
      <c r="J16" s="78" t="n">
        <v>2174</v>
      </c>
      <c r="K16" s="78" t="n">
        <v>1041.4</v>
      </c>
      <c r="L16" s="79" t="inlineStr">
        <is>
          <t>Sat (+1,894)</t>
        </is>
      </c>
      <c r="M16" s="80" t="inlineStr">
        <is>
          <t>Wed (+333)</t>
        </is>
      </c>
    </row>
    <row r="17">
      <c r="A17" s="87" t="inlineStr">
        <is>
          <t>13:00</t>
        </is>
      </c>
      <c r="B17" s="88" t="inlineStr">
        <is>
          <t>Day Normal</t>
        </is>
      </c>
      <c r="C17" s="86" t="n">
        <v>1228</v>
      </c>
      <c r="D17" s="86" t="n">
        <v>1286</v>
      </c>
      <c r="E17" s="85" t="n">
        <v>93</v>
      </c>
      <c r="F17" s="85" t="n">
        <v>142</v>
      </c>
      <c r="G17" s="86" t="n">
        <v>1554</v>
      </c>
      <c r="H17" s="86" t="n">
        <v>1511</v>
      </c>
      <c r="I17" s="86" t="n">
        <v>1515</v>
      </c>
      <c r="J17" s="78" t="n">
        <v>2089</v>
      </c>
      <c r="K17" s="78" t="n">
        <v>1042.3</v>
      </c>
      <c r="L17" s="79" t="inlineStr">
        <is>
          <t>Fri (+1,554)</t>
        </is>
      </c>
      <c r="M17" s="80" t="inlineStr">
        <is>
          <t>Wed (+93)</t>
        </is>
      </c>
    </row>
    <row r="18">
      <c r="A18" s="87" t="inlineStr">
        <is>
          <t>14:00</t>
        </is>
      </c>
      <c r="B18" s="88" t="inlineStr">
        <is>
          <t>Day Normal</t>
        </is>
      </c>
      <c r="C18" s="86" t="n">
        <v>734</v>
      </c>
      <c r="D18" s="86" t="n">
        <v>1150</v>
      </c>
      <c r="E18" s="86" t="n">
        <v>659</v>
      </c>
      <c r="F18" s="85" t="n">
        <v>167</v>
      </c>
      <c r="G18" s="86" t="n">
        <v>1451</v>
      </c>
      <c r="H18" s="86" t="n">
        <v>1289</v>
      </c>
      <c r="I18" s="86" t="n">
        <v>1132</v>
      </c>
      <c r="J18" s="78" t="n">
        <v>1966.8</v>
      </c>
      <c r="K18" s="78" t="n">
        <v>1026.3</v>
      </c>
      <c r="L18" s="79" t="inlineStr">
        <is>
          <t>Fri (+1,451)</t>
        </is>
      </c>
      <c r="M18" s="80" t="inlineStr">
        <is>
          <t>Thu (+167)</t>
        </is>
      </c>
    </row>
    <row r="19">
      <c r="A19" s="87" t="inlineStr">
        <is>
          <t>15:00</t>
        </is>
      </c>
      <c r="B19" s="88" t="inlineStr">
        <is>
          <t>Day Normal</t>
        </is>
      </c>
      <c r="C19" s="86" t="n">
        <v>553</v>
      </c>
      <c r="D19" s="86" t="n">
        <v>652</v>
      </c>
      <c r="E19" s="84" t="n">
        <v>201</v>
      </c>
      <c r="F19" s="85" t="n">
        <v>32</v>
      </c>
      <c r="G19" s="86" t="n">
        <v>746</v>
      </c>
      <c r="H19" s="84" t="n">
        <v>463</v>
      </c>
      <c r="I19" s="86" t="n">
        <v>894</v>
      </c>
      <c r="J19" s="78" t="n">
        <v>1571</v>
      </c>
      <c r="K19" s="78" t="n">
        <v>1065.1</v>
      </c>
      <c r="L19" s="79" t="inlineStr">
        <is>
          <t>Sun (+894)</t>
        </is>
      </c>
      <c r="M19" s="80" t="inlineStr">
        <is>
          <t>Thu (+32)</t>
        </is>
      </c>
    </row>
    <row r="20">
      <c r="A20" s="87" t="inlineStr">
        <is>
          <t>16:00</t>
        </is>
      </c>
      <c r="B20" s="88" t="inlineStr">
        <is>
          <t>Day Normal</t>
        </is>
      </c>
      <c r="C20" s="89" t="n">
        <v>-95</v>
      </c>
      <c r="D20" s="84" t="n">
        <v>411</v>
      </c>
      <c r="E20" s="89" t="n">
        <v>-10</v>
      </c>
      <c r="F20" s="81" t="n">
        <v>-276</v>
      </c>
      <c r="G20" s="84" t="n">
        <v>244</v>
      </c>
      <c r="H20" s="84" t="n">
        <v>308</v>
      </c>
      <c r="I20" s="84" t="n">
        <v>396</v>
      </c>
      <c r="J20" s="78" t="n">
        <v>1172.8</v>
      </c>
      <c r="K20" s="78" t="n">
        <v>1033.2</v>
      </c>
      <c r="L20" s="79" t="inlineStr">
        <is>
          <t>Tue (+411)</t>
        </is>
      </c>
      <c r="M20" s="80" t="inlineStr">
        <is>
          <t>Thu (-276)</t>
        </is>
      </c>
    </row>
    <row r="21">
      <c r="A21" s="87" t="inlineStr">
        <is>
          <t>17:00</t>
        </is>
      </c>
      <c r="B21" s="88" t="inlineStr">
        <is>
          <t>Day Normal</t>
        </is>
      </c>
      <c r="C21" s="77" t="n">
        <v>-531</v>
      </c>
      <c r="D21" s="77" t="n">
        <v>-502</v>
      </c>
      <c r="E21" s="81" t="n">
        <v>-357</v>
      </c>
      <c r="F21" s="77" t="n">
        <v>-552</v>
      </c>
      <c r="G21" s="81" t="n">
        <v>-251</v>
      </c>
      <c r="H21" s="81" t="n">
        <v>-215</v>
      </c>
      <c r="I21" s="89" t="n">
        <v>-154</v>
      </c>
      <c r="J21" s="78" t="n">
        <v>613.8</v>
      </c>
      <c r="K21" s="78" t="n">
        <v>980.1</v>
      </c>
      <c r="L21" s="79" t="inlineStr">
        <is>
          <t>Sun (-154)</t>
        </is>
      </c>
      <c r="M21" s="80" t="inlineStr">
        <is>
          <t>Thu (-552)</t>
        </is>
      </c>
    </row>
    <row r="22">
      <c r="A22" s="90" t="inlineStr">
        <is>
          <t>18:00</t>
        </is>
      </c>
      <c r="B22" s="80" t="inlineStr">
        <is>
          <t>Evening Peak</t>
        </is>
      </c>
      <c r="C22" s="77" t="n">
        <v>-902</v>
      </c>
      <c r="D22" s="77" t="n">
        <v>-949</v>
      </c>
      <c r="E22" s="77" t="n">
        <v>-851</v>
      </c>
      <c r="F22" s="77" t="n">
        <v>-787</v>
      </c>
      <c r="G22" s="77" t="n">
        <v>-809</v>
      </c>
      <c r="H22" s="77" t="n">
        <v>-875</v>
      </c>
      <c r="I22" s="77" t="n">
        <v>-629</v>
      </c>
      <c r="J22" s="78" t="n">
        <v>133.8</v>
      </c>
      <c r="K22" s="78" t="n">
        <v>962.6</v>
      </c>
      <c r="L22" s="79" t="inlineStr">
        <is>
          <t>Sun (-629)</t>
        </is>
      </c>
      <c r="M22" s="80" t="inlineStr">
        <is>
          <t>Tue (-949)</t>
        </is>
      </c>
    </row>
    <row r="23">
      <c r="A23" s="90" t="inlineStr">
        <is>
          <t>19:00</t>
        </is>
      </c>
      <c r="B23" s="80" t="inlineStr">
        <is>
          <t>Evening Peak</t>
        </is>
      </c>
      <c r="C23" s="77" t="n">
        <v>-952</v>
      </c>
      <c r="D23" s="77" t="n">
        <v>-998</v>
      </c>
      <c r="E23" s="77" t="n">
        <v>-922</v>
      </c>
      <c r="F23" s="77" t="n">
        <v>-949</v>
      </c>
      <c r="G23" s="77" t="n">
        <v>-859</v>
      </c>
      <c r="H23" s="77" t="n">
        <v>-1040</v>
      </c>
      <c r="I23" s="77" t="n">
        <v>-726</v>
      </c>
      <c r="J23" s="78" t="n">
        <v>0</v>
      </c>
      <c r="K23" s="78" t="n">
        <v>920.9</v>
      </c>
      <c r="L23" s="79" t="inlineStr">
        <is>
          <t>Sun (-726)</t>
        </is>
      </c>
      <c r="M23" s="80" t="inlineStr">
        <is>
          <t>Sat (-1,040)</t>
        </is>
      </c>
    </row>
    <row r="24">
      <c r="A24" s="90" t="inlineStr">
        <is>
          <t>20:00</t>
        </is>
      </c>
      <c r="B24" s="80" t="inlineStr">
        <is>
          <t>Evening Peak</t>
        </is>
      </c>
      <c r="C24" s="77" t="n">
        <v>-877</v>
      </c>
      <c r="D24" s="77" t="n">
        <v>-892</v>
      </c>
      <c r="E24" s="77" t="n">
        <v>-832</v>
      </c>
      <c r="F24" s="77" t="n">
        <v>-785</v>
      </c>
      <c r="G24" s="77" t="n">
        <v>-822</v>
      </c>
      <c r="H24" s="77" t="n">
        <v>-907</v>
      </c>
      <c r="I24" s="77" t="n">
        <v>-702</v>
      </c>
      <c r="J24" s="78" t="n">
        <v>0</v>
      </c>
      <c r="K24" s="78" t="n">
        <v>830.9</v>
      </c>
      <c r="L24" s="79" t="inlineStr">
        <is>
          <t>Sun (-702)</t>
        </is>
      </c>
      <c r="M24" s="80" t="inlineStr">
        <is>
          <t>Sat (-907)</t>
        </is>
      </c>
    </row>
    <row r="25">
      <c r="A25" s="90" t="inlineStr">
        <is>
          <t>21:00</t>
        </is>
      </c>
      <c r="B25" s="80" t="inlineStr">
        <is>
          <t>Evening Peak</t>
        </is>
      </c>
      <c r="C25" s="77" t="n">
        <v>-862</v>
      </c>
      <c r="D25" s="77" t="n">
        <v>-832</v>
      </c>
      <c r="E25" s="77" t="n">
        <v>-847</v>
      </c>
      <c r="F25" s="77" t="n">
        <v>-832</v>
      </c>
      <c r="G25" s="77" t="n">
        <v>-798</v>
      </c>
      <c r="H25" s="77" t="n">
        <v>-895</v>
      </c>
      <c r="I25" s="77" t="n">
        <v>-689</v>
      </c>
      <c r="J25" s="78" t="n">
        <v>0</v>
      </c>
      <c r="K25" s="78" t="n">
        <v>822</v>
      </c>
      <c r="L25" s="79" t="inlineStr">
        <is>
          <t>Sun (-689)</t>
        </is>
      </c>
      <c r="M25" s="80" t="inlineStr">
        <is>
          <t>Sat (-895)</t>
        </is>
      </c>
    </row>
    <row r="26">
      <c r="A26" s="75" t="inlineStr">
        <is>
          <t>22:00</t>
        </is>
      </c>
      <c r="B26" s="76" t="inlineStr">
        <is>
          <t>Night</t>
        </is>
      </c>
      <c r="C26" s="77" t="n">
        <v>-832</v>
      </c>
      <c r="D26" s="77" t="n">
        <v>-816</v>
      </c>
      <c r="E26" s="77" t="n">
        <v>-832</v>
      </c>
      <c r="F26" s="77" t="n">
        <v>-741</v>
      </c>
      <c r="G26" s="77" t="n">
        <v>-774</v>
      </c>
      <c r="H26" s="77" t="n">
        <v>-907</v>
      </c>
      <c r="I26" s="77" t="n">
        <v>-702</v>
      </c>
      <c r="J26" s="78" t="n">
        <v>0</v>
      </c>
      <c r="K26" s="78" t="n">
        <v>800.4</v>
      </c>
      <c r="L26" s="79" t="inlineStr">
        <is>
          <t>Sun (-702)</t>
        </is>
      </c>
      <c r="M26" s="80" t="inlineStr">
        <is>
          <t>Sat (-907)</t>
        </is>
      </c>
    </row>
    <row r="27">
      <c r="A27" s="75" t="inlineStr">
        <is>
          <t>23:00</t>
        </is>
      </c>
      <c r="B27" s="76" t="inlineStr">
        <is>
          <t>Night</t>
        </is>
      </c>
      <c r="C27" s="77" t="n">
        <v>-801</v>
      </c>
      <c r="D27" s="77" t="n">
        <v>-695</v>
      </c>
      <c r="E27" s="77" t="n">
        <v>-816</v>
      </c>
      <c r="F27" s="77" t="n">
        <v>-710</v>
      </c>
      <c r="G27" s="77" t="n">
        <v>-786</v>
      </c>
      <c r="H27" s="77" t="n">
        <v>-762</v>
      </c>
      <c r="I27" s="77" t="n">
        <v>-714</v>
      </c>
      <c r="J27" s="78" t="n">
        <v>0</v>
      </c>
      <c r="K27" s="78" t="n">
        <v>755</v>
      </c>
      <c r="L27" s="79" t="inlineStr">
        <is>
          <t>Tue (-695)</t>
        </is>
      </c>
      <c r="M27" s="80" t="inlineStr">
        <is>
          <t>Wed (-816)</t>
        </is>
      </c>
    </row>
    <row r="30">
      <c r="A30" s="22" t="inlineStr">
        <is>
          <t>📐 Schema_v2 query:</t>
        </is>
      </c>
    </row>
    <row r="31">
      <c r="A31" s="38" t="inlineStr">
        <is>
          <t>SELECT EXTRACT(HOUR FROM slot_start_time), TO_CHAR(slot_start_time,'Dy'),</t>
        </is>
      </c>
    </row>
    <row r="32">
      <c r="A32" s="23" t="inlineStr">
        <is>
          <t xml:space="preserve">       AVG(gr.generation_kwh) AS avg_gen, AVG(cr.consumption_kwh) AS avg_cons,</t>
        </is>
      </c>
    </row>
    <row r="33">
      <c r="A33" s="23" t="inlineStr">
        <is>
          <t xml:space="preserve">       AVG(gr.generation_kwh - cr.consumption_kwh) AS avg_net</t>
        </is>
      </c>
    </row>
    <row r="34">
      <c r="A34" s="38" t="inlineStr">
        <is>
          <t>FROM hourly_gen_con2_v2 WHERE date BETWEEN :start AND :end</t>
        </is>
      </c>
    </row>
    <row r="35">
      <c r="A35" s="38" t="inlineStr">
        <is>
          <t>GROUP BY EXTRACT(HOUR FROM slot_start_time), TO_CHAR(slot_start_time,'Dy')</t>
        </is>
      </c>
    </row>
    <row r="36">
      <c r="A36" s="38" t="inlineStr">
        <is>
          <t>ORDER BY 1, 2;</t>
        </is>
      </c>
    </row>
    <row r="37">
      <c r="A37" s="23" t="inlineStr"/>
    </row>
    <row r="38">
      <c r="A38" s="91" t="inlineStr">
        <is>
          <t>📊 Key findings from August 2025:</t>
        </is>
      </c>
    </row>
    <row r="39">
      <c r="A39" s="38" t="inlineStr">
        <is>
          <t>Solar active hours: 07:00–18:00 (gen &gt; 0). Surplus window: 08:00–16:00 weekdays, 08:00–17:00 weekends.</t>
        </is>
      </c>
    </row>
    <row r="40">
      <c r="A40" s="23" t="inlineStr">
        <is>
          <t>Peak surplus: Sat 12:00 = +1,894 kWh. Peak deficit: Sat 19:00 = −1,040 kWh.</t>
        </is>
      </c>
    </row>
    <row r="41">
      <c r="A41" s="38" t="inlineStr">
        <is>
          <t>Wed midday shows weakest surplus (cloudy monsoon pattern). Fri afternoon holds surplus latest.</t>
        </is>
      </c>
    </row>
    <row r="42">
      <c r="A42" s="23" t="inlineStr">
        <is>
          <t>TOD slots: MP=06–09h (morning), DN=09–18h (day), EP=18–22h (evening), N=22–06h (night).</t>
        </is>
      </c>
    </row>
    <row r="43">
      <c r="A43" s="23" t="inlineStr">
        <is>
          <t>Banking must cover 13h nightly deficit window. This heatmap identifies optimal banking drawdown hours.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2026-07-07T12:00:12Z</dcterms:created>
  <dcterms:modified xmlns:dcterms="http://purl.org/dc/terms/" xmlns:xsi="http://www.w3.org/2001/XMLSchema-instance" xsi:type="dcterms:W3CDTF">2026-07-07T12:00:12Z</dcterms:modified>
</cp:coreProperties>
</file>